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rls\.gemini\antigravity\Scratch\sports-memorabilia-store\business_docs\"/>
    </mc:Choice>
  </mc:AlternateContent>
  <xr:revisionPtr revIDLastSave="0" documentId="13_ncr:1_{5A14B4E1-4D4E-47CA-9039-C83713876B96}" xr6:coauthVersionLast="47" xr6:coauthVersionMax="47" xr10:uidLastSave="{00000000-0000-0000-0000-000000000000}"/>
  <bookViews>
    <workbookView xWindow="-108" yWindow="-108" windowWidth="23256" windowHeight="13896" firstSheet="2" activeTab="5" xr2:uid="{00000000-000D-0000-FFFF-FFFF00000000}"/>
  </bookViews>
  <sheets>
    <sheet name="Start-up Costs" sheetId="1" r:id="rId1"/>
    <sheet name="Operating Expenditure" sheetId="2" r:id="rId2"/>
    <sheet name="Cost of Goods Sold" sheetId="3" r:id="rId3"/>
    <sheet name="Signing Trip Costs" sheetId="4" r:id="rId4"/>
    <sheet name="Year 1 Monthly (Scalability)" sheetId="5" r:id="rId5"/>
    <sheet name="Projections (5 Years)" sheetId="6" r:id="rId6"/>
    <sheet name="Non-Operating Expenditure" sheetId="7" r:id="rId7"/>
  </sheets>
  <definedNames>
    <definedName name="_xlnm._FilterDatabase" localSheetId="5" hidden="1">'Projections (5 Years)'!$A$1:$F$10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6" l="1"/>
  <c r="F6" i="6" s="1"/>
  <c r="F9" i="6" s="1"/>
  <c r="F10" i="6" s="1"/>
  <c r="E5" i="6"/>
  <c r="E6" i="6" s="1"/>
  <c r="E9" i="6" s="1"/>
  <c r="E10" i="6" s="1"/>
  <c r="D5" i="6"/>
  <c r="D6" i="6" s="1"/>
  <c r="D9" i="6" s="1"/>
  <c r="D10" i="6" s="1"/>
  <c r="C5" i="6"/>
  <c r="C6" i="6" s="1"/>
  <c r="C9" i="6" s="1"/>
  <c r="C10" i="6" s="1"/>
  <c r="B4" i="6"/>
  <c r="L14" i="5"/>
  <c r="L16" i="5" s="1"/>
  <c r="K14" i="5"/>
  <c r="I14" i="5"/>
  <c r="I16" i="5" s="1"/>
  <c r="F14" i="5"/>
  <c r="F16" i="5" s="1"/>
  <c r="B14" i="5"/>
  <c r="M13" i="5"/>
  <c r="M14" i="5" s="1"/>
  <c r="L13" i="5"/>
  <c r="K13" i="5"/>
  <c r="J13" i="5"/>
  <c r="J14" i="5" s="1"/>
  <c r="I13" i="5"/>
  <c r="H13" i="5"/>
  <c r="H14" i="5" s="1"/>
  <c r="G13" i="5"/>
  <c r="G14" i="5" s="1"/>
  <c r="G16" i="5" s="1"/>
  <c r="F13" i="5"/>
  <c r="N12" i="5"/>
  <c r="N11" i="5"/>
  <c r="N10" i="5"/>
  <c r="N9" i="5"/>
  <c r="N8" i="5"/>
  <c r="N7" i="5"/>
  <c r="N6" i="5"/>
  <c r="M4" i="5"/>
  <c r="L4" i="5"/>
  <c r="K4" i="5"/>
  <c r="K16" i="5" s="1"/>
  <c r="J4" i="5"/>
  <c r="J16" i="5" s="1"/>
  <c r="I4" i="5"/>
  <c r="H4" i="5"/>
  <c r="H16" i="5" s="1"/>
  <c r="G4" i="5"/>
  <c r="F4" i="5"/>
  <c r="E4" i="5"/>
  <c r="D4" i="5"/>
  <c r="D13" i="5" s="1"/>
  <c r="D14" i="5" s="1"/>
  <c r="D16" i="5" s="1"/>
  <c r="C4" i="5"/>
  <c r="C13" i="5" s="1"/>
  <c r="B4" i="5"/>
  <c r="N4" i="5" s="1"/>
  <c r="N3" i="5"/>
  <c r="N2" i="5"/>
  <c r="B7" i="4"/>
  <c r="G7" i="3"/>
  <c r="E7" i="3"/>
  <c r="D7" i="3"/>
  <c r="C7" i="3"/>
  <c r="F7" i="3" s="1"/>
  <c r="C9" i="2"/>
  <c r="C8" i="2"/>
  <c r="C7" i="2"/>
  <c r="C6" i="2"/>
  <c r="C5" i="2"/>
  <c r="C4" i="2"/>
  <c r="C3" i="2"/>
  <c r="C2" i="2"/>
  <c r="C6" i="1"/>
  <c r="C14" i="5" l="1"/>
  <c r="M16" i="5"/>
  <c r="B16" i="5"/>
  <c r="E13" i="5"/>
  <c r="E14" i="5" s="1"/>
  <c r="E16" i="5" s="1"/>
  <c r="C16" i="5"/>
  <c r="B5" i="6"/>
  <c r="B6" i="6" s="1"/>
  <c r="B18" i="5" l="1"/>
  <c r="C17" i="5" s="1"/>
  <c r="C18" i="5" s="1"/>
  <c r="D17" i="5" s="1"/>
  <c r="D18" i="5" s="1"/>
  <c r="E17" i="5" s="1"/>
  <c r="E18" i="5" s="1"/>
  <c r="F17" i="5" s="1"/>
  <c r="F18" i="5" s="1"/>
  <c r="G17" i="5" s="1"/>
  <c r="G18" i="5" s="1"/>
  <c r="H17" i="5" s="1"/>
  <c r="H18" i="5" s="1"/>
  <c r="I17" i="5" s="1"/>
  <c r="I18" i="5" s="1"/>
  <c r="J17" i="5" s="1"/>
  <c r="J18" i="5" s="1"/>
  <c r="K17" i="5" s="1"/>
  <c r="K18" i="5" s="1"/>
  <c r="L17" i="5" s="1"/>
  <c r="L18" i="5" s="1"/>
  <c r="M17" i="5" s="1"/>
  <c r="N16" i="5"/>
  <c r="N13" i="5"/>
  <c r="B7" i="6" l="1"/>
  <c r="B9" i="6" s="1"/>
  <c r="B10" i="6" s="1"/>
  <c r="N14" i="5"/>
  <c r="M18" i="5"/>
  <c r="N18" i="5" s="1"/>
  <c r="Q4" i="5" s="1"/>
  <c r="N17" i="5"/>
</calcChain>
</file>

<file path=xl/sharedStrings.xml><?xml version="1.0" encoding="utf-8"?>
<sst xmlns="http://schemas.openxmlformats.org/spreadsheetml/2006/main" count="107" uniqueCount="97">
  <si>
    <t>Category</t>
  </si>
  <si>
    <t>Item</t>
  </si>
  <si>
    <t>Cost (£)</t>
  </si>
  <si>
    <t>Notes</t>
  </si>
  <si>
    <t>Capital Expenditure (CapEx)</t>
  </si>
  <si>
    <t>Initial Inventory</t>
  </si>
  <si>
    <t>Signing with Chris Eubank, items signed and frames</t>
  </si>
  <si>
    <t>Packaging</t>
  </si>
  <si>
    <t>Packaging includes luxury box, styrofoam and outer shipping box.</t>
  </si>
  <si>
    <t>Pre-Start-up Expenses</t>
  </si>
  <si>
    <t>Brand Identity &amp; Design</t>
  </si>
  <si>
    <t>Logo, assets, guidelines</t>
  </si>
  <si>
    <t>Legal &amp; Incorporation Fees</t>
  </si>
  <si>
    <t>Companies House, Contracts</t>
  </si>
  <si>
    <t>TOTAL</t>
  </si>
  <si>
    <t>Total Start-up Costs</t>
  </si>
  <si>
    <t>Expense Item</t>
  </si>
  <si>
    <t>Monthly Cost as of month 2 (£)</t>
  </si>
  <si>
    <t>Annual Cost (£)</t>
  </si>
  <si>
    <t>Marketing (Social Ads)</t>
  </si>
  <si>
    <t>Scaled with revenue</t>
  </si>
  <si>
    <t>Marketing (Influencer/Content)</t>
  </si>
  <si>
    <t>Content creation budget</t>
  </si>
  <si>
    <t>Software Subscriptions (Hosting, Email, CRM)</t>
  </si>
  <si>
    <t>Supabase, Vercel, Klaviyo</t>
  </si>
  <si>
    <t>Insurance (Business &amp; Stock)</t>
  </si>
  <si>
    <t>Specialist memorabilia cover</t>
  </si>
  <si>
    <t>Accountancy &amp; Legal Retainer</t>
  </si>
  <si>
    <t>Year-end accounts</t>
  </si>
  <si>
    <t>Warehouse/Storage/Workplace Rent</t>
  </si>
  <si>
    <t>Secure storage unit</t>
  </si>
  <si>
    <t>Salaries (Founders/Staff)</t>
  </si>
  <si>
    <t>Minimal initial draw</t>
  </si>
  <si>
    <t>Depreciation &amp; Amortization</t>
  </si>
  <si>
    <t>Estimated annual depreciation, entirely dependant on the athlete, circumstances surrounding them and how they perform. Very difficult to predict.</t>
  </si>
  <si>
    <t>Item Type</t>
  </si>
  <si>
    <t>Av Cost per Signature (£)</t>
  </si>
  <si>
    <t>Frame &amp; Mount (£)</t>
  </si>
  <si>
    <t>Packaging (Box, Wrap, Tape) (£)</t>
  </si>
  <si>
    <t>Product cost (£)</t>
  </si>
  <si>
    <t>TOTAL COGS (£)</t>
  </si>
  <si>
    <t>RRP (£)</t>
  </si>
  <si>
    <t>Margin (%)</t>
  </si>
  <si>
    <t>Framed Shirt</t>
  </si>
  <si>
    <t>Framed Photo</t>
  </si>
  <si>
    <t>Framed Boot</t>
  </si>
  <si>
    <t>Framed Glove</t>
  </si>
  <si>
    <t>First signing example</t>
  </si>
  <si>
    <t>Chris Eubank</t>
  </si>
  <si>
    <t>Cost Per Trip (£)</t>
  </si>
  <si>
    <t>Travel (Train/Flight/Fuel)</t>
  </si>
  <si>
    <t>Avg cost to reach athlete</t>
  </si>
  <si>
    <t>Accommodation (Hotel)</t>
  </si>
  <si>
    <t>1 night stay</t>
  </si>
  <si>
    <t>Subsistence (Meals)</t>
  </si>
  <si>
    <t>Staff meals</t>
  </si>
  <si>
    <t>Logistics (Secure Van/Courier)</t>
  </si>
  <si>
    <t>Transporting bulk items securely</t>
  </si>
  <si>
    <t>Contingency</t>
  </si>
  <si>
    <t>Unexpected costs</t>
  </si>
  <si>
    <t>TOTAL PER EVENT</t>
  </si>
  <si>
    <t>Metric</t>
  </si>
  <si>
    <t>YEAR 1 TOTAL</t>
  </si>
  <si>
    <t>CASH IN: Product Sales (Drops)</t>
  </si>
  <si>
    <t>CASH IN: Injection/Investment</t>
  </si>
  <si>
    <t>TOTAL CASH IN</t>
  </si>
  <si>
    <t>CASH OUT: Inventory Purchases (Restock)</t>
  </si>
  <si>
    <t>CASH OUT: Staff Salary</t>
  </si>
  <si>
    <t>CASH OUT: Founder Salary</t>
  </si>
  <si>
    <t>CASH OUT: Paid Advertising</t>
  </si>
  <si>
    <t>CASH OUT: Content Creation</t>
  </si>
  <si>
    <t>CASH OUT: Signing Logistics</t>
  </si>
  <si>
    <t>CASH OUT: Fixed Overheads (Tech/Storage)</t>
  </si>
  <si>
    <t>CASH OUT: Estimated refunds (10% total revenue)</t>
  </si>
  <si>
    <t>TOTAL CASH OUT</t>
  </si>
  <si>
    <t>NET CASH FLOW</t>
  </si>
  <si>
    <t>Opening Bank Balance</t>
  </si>
  <si>
    <t>Closing Bank Balance</t>
  </si>
  <si>
    <t>Year 1</t>
  </si>
  <si>
    <t>Year 2</t>
  </si>
  <si>
    <t>Year 3</t>
  </si>
  <si>
    <t>Year 4</t>
  </si>
  <si>
    <t>Year 5</t>
  </si>
  <si>
    <t>Total Orders</t>
  </si>
  <si>
    <t>Average Order Value (AOV)</t>
  </si>
  <si>
    <t>Gross Revenue</t>
  </si>
  <si>
    <t>Total COGS (approx 30%)</t>
  </si>
  <si>
    <t>Gross Profit</t>
  </si>
  <si>
    <t>Total Operating Expenses (OpEx)</t>
  </si>
  <si>
    <t>Non-Operating Expenses</t>
  </si>
  <si>
    <t>EBITDA</t>
  </si>
  <si>
    <t>Net Profit (Before Tax)</t>
  </si>
  <si>
    <t>Loan Repayments</t>
  </si>
  <si>
    <t>If applicable</t>
  </si>
  <si>
    <t>One-off Legal Settlements</t>
  </si>
  <si>
    <t>Investment</t>
  </si>
  <si>
    <t>Invested into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</si>
</sst>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"/>
    <numFmt numFmtId="165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7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wrapText="1"/>
    </xf>
    <xf numFmtId="3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2" sqref="C2"/>
    </sheetView>
  </sheetViews>
  <sheetFormatPr defaultRowHeight="14.4" x14ac:dyDescent="0.3"/>
  <cols>
    <col min="1" max="1" width="29" customWidth="1"/>
    <col min="2" max="2" width="28" customWidth="1"/>
    <col min="3" max="3" width="13" customWidth="1"/>
    <col min="4" max="4" width="6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6500</v>
      </c>
      <c r="D2" t="s">
        <v>6</v>
      </c>
    </row>
    <row r="3" spans="1:4" x14ac:dyDescent="0.3">
      <c r="A3" t="s">
        <v>4</v>
      </c>
      <c r="B3" t="s">
        <v>7</v>
      </c>
      <c r="C3">
        <v>1300</v>
      </c>
      <c r="D3" t="s">
        <v>8</v>
      </c>
    </row>
    <row r="4" spans="1:4" x14ac:dyDescent="0.3">
      <c r="A4" t="s">
        <v>9</v>
      </c>
      <c r="B4" t="s">
        <v>10</v>
      </c>
      <c r="C4">
        <v>200</v>
      </c>
      <c r="D4" t="s">
        <v>11</v>
      </c>
    </row>
    <row r="5" spans="1:4" x14ac:dyDescent="0.3">
      <c r="A5" t="s">
        <v>9</v>
      </c>
      <c r="B5" t="s">
        <v>12</v>
      </c>
      <c r="C5">
        <v>500</v>
      </c>
      <c r="D5" t="s">
        <v>13</v>
      </c>
    </row>
    <row r="6" spans="1:4" x14ac:dyDescent="0.3">
      <c r="A6" t="s">
        <v>14</v>
      </c>
      <c r="B6" t="s">
        <v>15</v>
      </c>
      <c r="C6">
        <f>SUM(C2:C5)</f>
        <v>8500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21" sqref="C21"/>
    </sheetView>
  </sheetViews>
  <sheetFormatPr defaultRowHeight="14.4" x14ac:dyDescent="0.3"/>
  <cols>
    <col min="1" max="1" width="46" customWidth="1"/>
    <col min="2" max="2" width="27.5546875" bestFit="1" customWidth="1"/>
    <col min="3" max="3" width="17" customWidth="1"/>
    <col min="4" max="4" width="79.6640625" style="9" customWidth="1"/>
  </cols>
  <sheetData>
    <row r="1" spans="1:4" x14ac:dyDescent="0.3">
      <c r="A1" s="1" t="s">
        <v>16</v>
      </c>
      <c r="B1" s="1" t="s">
        <v>17</v>
      </c>
      <c r="C1" s="1" t="s">
        <v>18</v>
      </c>
      <c r="D1" s="8" t="s">
        <v>3</v>
      </c>
    </row>
    <row r="2" spans="1:4" x14ac:dyDescent="0.3">
      <c r="A2" t="s">
        <v>19</v>
      </c>
      <c r="B2" s="3">
        <v>4000</v>
      </c>
      <c r="C2" s="3">
        <f t="shared" ref="C2:C9" si="0">SUM(B2*11)</f>
        <v>44000</v>
      </c>
      <c r="D2" s="9" t="s">
        <v>20</v>
      </c>
    </row>
    <row r="3" spans="1:4" x14ac:dyDescent="0.3">
      <c r="A3" t="s">
        <v>21</v>
      </c>
      <c r="B3" s="3">
        <v>500</v>
      </c>
      <c r="C3" s="3">
        <f t="shared" si="0"/>
        <v>5500</v>
      </c>
      <c r="D3" s="9" t="s">
        <v>22</v>
      </c>
    </row>
    <row r="4" spans="1:4" x14ac:dyDescent="0.3">
      <c r="A4" t="s">
        <v>23</v>
      </c>
      <c r="B4" s="3">
        <v>150</v>
      </c>
      <c r="C4" s="3">
        <f t="shared" si="0"/>
        <v>1650</v>
      </c>
      <c r="D4" s="9" t="s">
        <v>24</v>
      </c>
    </row>
    <row r="5" spans="1:4" x14ac:dyDescent="0.3">
      <c r="A5" t="s">
        <v>25</v>
      </c>
      <c r="B5" s="3">
        <v>50</v>
      </c>
      <c r="C5" s="3">
        <f t="shared" si="0"/>
        <v>550</v>
      </c>
      <c r="D5" s="9" t="s">
        <v>26</v>
      </c>
    </row>
    <row r="6" spans="1:4" x14ac:dyDescent="0.3">
      <c r="A6" t="s">
        <v>27</v>
      </c>
      <c r="B6" s="3">
        <v>200</v>
      </c>
      <c r="C6" s="3">
        <f t="shared" si="0"/>
        <v>2200</v>
      </c>
      <c r="D6" s="9" t="s">
        <v>28</v>
      </c>
    </row>
    <row r="7" spans="1:4" x14ac:dyDescent="0.3">
      <c r="A7" t="s">
        <v>29</v>
      </c>
      <c r="B7" s="3">
        <v>400</v>
      </c>
      <c r="C7" s="3">
        <f t="shared" si="0"/>
        <v>4400</v>
      </c>
      <c r="D7" s="9" t="s">
        <v>30</v>
      </c>
    </row>
    <row r="8" spans="1:4" x14ac:dyDescent="0.3">
      <c r="A8" t="s">
        <v>31</v>
      </c>
      <c r="B8" s="3">
        <v>4000</v>
      </c>
      <c r="C8" s="3">
        <f t="shared" si="0"/>
        <v>44000</v>
      </c>
      <c r="D8" s="9" t="s">
        <v>32</v>
      </c>
    </row>
    <row r="9" spans="1:4" ht="28.8" customHeight="1" x14ac:dyDescent="0.3">
      <c r="A9" t="s">
        <v>33</v>
      </c>
      <c r="B9" s="3">
        <v>83</v>
      </c>
      <c r="C9" s="3">
        <f t="shared" si="0"/>
        <v>913</v>
      </c>
      <c r="D9" s="9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F7" sqref="F7"/>
    </sheetView>
  </sheetViews>
  <sheetFormatPr defaultRowHeight="14.4" x14ac:dyDescent="0.3"/>
  <cols>
    <col min="1" max="1" width="23" customWidth="1"/>
    <col min="2" max="2" width="27" customWidth="1"/>
    <col min="3" max="3" width="19" customWidth="1"/>
    <col min="4" max="4" width="33" customWidth="1"/>
    <col min="5" max="5" width="18" customWidth="1"/>
    <col min="6" max="6" width="16" customWidth="1"/>
    <col min="7" max="7" width="9" customWidth="1"/>
    <col min="8" max="8" width="20" customWidth="1"/>
  </cols>
  <sheetData>
    <row r="1" spans="1:8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3">
      <c r="A2" t="s">
        <v>43</v>
      </c>
      <c r="B2" s="3">
        <v>30</v>
      </c>
      <c r="C2" s="3">
        <v>12</v>
      </c>
      <c r="D2" s="3">
        <v>10</v>
      </c>
      <c r="E2" s="3">
        <v>40</v>
      </c>
      <c r="F2" s="3">
        <v>92</v>
      </c>
      <c r="G2" s="3">
        <v>299</v>
      </c>
      <c r="H2" s="7">
        <v>0.69230769230769229</v>
      </c>
    </row>
    <row r="3" spans="1:8" x14ac:dyDescent="0.3">
      <c r="A3" t="s">
        <v>44</v>
      </c>
      <c r="B3" s="3">
        <v>0</v>
      </c>
      <c r="C3" s="3">
        <v>8</v>
      </c>
      <c r="D3" s="3">
        <v>10</v>
      </c>
      <c r="E3" s="3">
        <v>2</v>
      </c>
      <c r="F3" s="3">
        <v>20</v>
      </c>
      <c r="G3" s="3">
        <v>129</v>
      </c>
      <c r="H3" s="7">
        <v>0.84496124031007747</v>
      </c>
    </row>
    <row r="4" spans="1:8" x14ac:dyDescent="0.3">
      <c r="A4" t="s">
        <v>45</v>
      </c>
      <c r="B4" s="3">
        <v>30</v>
      </c>
      <c r="C4" s="3">
        <v>10</v>
      </c>
      <c r="D4" s="3">
        <v>10</v>
      </c>
      <c r="E4" s="3">
        <v>20</v>
      </c>
      <c r="F4" s="3">
        <v>70</v>
      </c>
      <c r="G4" s="3">
        <v>219</v>
      </c>
      <c r="H4" s="7">
        <v>0.68036529680365299</v>
      </c>
    </row>
    <row r="5" spans="1:8" x14ac:dyDescent="0.3">
      <c r="A5" t="s">
        <v>46</v>
      </c>
      <c r="B5" s="3">
        <v>25</v>
      </c>
      <c r="C5" s="3">
        <v>10</v>
      </c>
      <c r="D5" s="3">
        <v>10</v>
      </c>
      <c r="E5" s="3">
        <v>10</v>
      </c>
      <c r="F5" s="3">
        <v>55</v>
      </c>
      <c r="G5" s="3">
        <v>219</v>
      </c>
      <c r="H5" s="7">
        <v>0.74885844748858443</v>
      </c>
    </row>
    <row r="6" spans="1:8" x14ac:dyDescent="0.3">
      <c r="A6" t="s">
        <v>47</v>
      </c>
      <c r="B6" s="3"/>
      <c r="C6" s="3"/>
      <c r="D6" s="3"/>
      <c r="E6" s="3"/>
      <c r="F6" s="3"/>
      <c r="G6" s="3"/>
      <c r="H6" s="7"/>
    </row>
    <row r="7" spans="1:8" x14ac:dyDescent="0.3">
      <c r="A7" t="s">
        <v>48</v>
      </c>
      <c r="B7" s="3">
        <v>5500</v>
      </c>
      <c r="C7" s="3">
        <f>SUM(C5*200)</f>
        <v>2000</v>
      </c>
      <c r="D7" s="3">
        <f>SUM(D5*200)</f>
        <v>2000</v>
      </c>
      <c r="E7" s="3">
        <f>SUM(E5*200)</f>
        <v>2000</v>
      </c>
      <c r="F7" s="3">
        <f>SUM(B7:E7)</f>
        <v>11500</v>
      </c>
      <c r="G7" s="3">
        <f>SUM(219*200)</f>
        <v>43800</v>
      </c>
      <c r="H7" s="7">
        <v>0.73744292237442921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B31" sqref="B31"/>
    </sheetView>
  </sheetViews>
  <sheetFormatPr defaultRowHeight="14.4" x14ac:dyDescent="0.3"/>
  <cols>
    <col min="1" max="1" width="32" customWidth="1"/>
    <col min="2" max="2" width="19" customWidth="1"/>
    <col min="3" max="3" width="34" customWidth="1"/>
  </cols>
  <sheetData>
    <row r="1" spans="1:3" x14ac:dyDescent="0.3">
      <c r="A1" s="1" t="s">
        <v>1</v>
      </c>
      <c r="B1" s="1" t="s">
        <v>49</v>
      </c>
      <c r="C1" s="1" t="s">
        <v>3</v>
      </c>
    </row>
    <row r="2" spans="1:3" x14ac:dyDescent="0.3">
      <c r="A2" t="s">
        <v>50</v>
      </c>
      <c r="B2">
        <v>150</v>
      </c>
      <c r="C2" t="s">
        <v>51</v>
      </c>
    </row>
    <row r="3" spans="1:3" x14ac:dyDescent="0.3">
      <c r="A3" t="s">
        <v>52</v>
      </c>
      <c r="B3">
        <v>150</v>
      </c>
      <c r="C3" t="s">
        <v>53</v>
      </c>
    </row>
    <row r="4" spans="1:3" x14ac:dyDescent="0.3">
      <c r="A4" t="s">
        <v>54</v>
      </c>
      <c r="B4">
        <v>50</v>
      </c>
      <c r="C4" t="s">
        <v>55</v>
      </c>
    </row>
    <row r="5" spans="1:3" x14ac:dyDescent="0.3">
      <c r="A5" t="s">
        <v>56</v>
      </c>
      <c r="B5">
        <v>100</v>
      </c>
      <c r="C5" t="s">
        <v>57</v>
      </c>
    </row>
    <row r="6" spans="1:3" x14ac:dyDescent="0.3">
      <c r="A6" t="s">
        <v>58</v>
      </c>
      <c r="B6">
        <v>100</v>
      </c>
      <c r="C6" t="s">
        <v>59</v>
      </c>
    </row>
    <row r="7" spans="1:3" x14ac:dyDescent="0.3">
      <c r="A7" t="s">
        <v>60</v>
      </c>
      <c r="B7">
        <f>SUM(B2:B6)</f>
        <v>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8"/>
  <sheetViews>
    <sheetView workbookViewId="0">
      <selection activeCell="N7" sqref="N7"/>
    </sheetView>
  </sheetViews>
  <sheetFormatPr defaultRowHeight="14.4" x14ac:dyDescent="0.3"/>
  <cols>
    <col min="1" max="1" width="36.88671875" style="3" bestFit="1" customWidth="1"/>
    <col min="2" max="10" width="8.21875" style="3" bestFit="1" customWidth="1"/>
    <col min="11" max="13" width="9.21875" style="3" bestFit="1" customWidth="1"/>
    <col min="14" max="14" width="12.6640625" style="3" bestFit="1" customWidth="1"/>
    <col min="15" max="17" width="8.88671875" style="3" customWidth="1"/>
    <col min="18" max="16384" width="8.88671875" style="3"/>
  </cols>
  <sheetData>
    <row r="1" spans="1:17" x14ac:dyDescent="0.3">
      <c r="A1" s="1" t="s">
        <v>61</v>
      </c>
      <c r="B1" s="4">
        <v>46023</v>
      </c>
      <c r="C1" s="4">
        <v>46054</v>
      </c>
      <c r="D1" s="4">
        <v>46082</v>
      </c>
      <c r="E1" s="4">
        <v>46113</v>
      </c>
      <c r="F1" s="4">
        <v>46143</v>
      </c>
      <c r="G1" s="4">
        <v>46174</v>
      </c>
      <c r="H1" s="4">
        <v>46204</v>
      </c>
      <c r="I1" s="4">
        <v>46235</v>
      </c>
      <c r="J1" s="4">
        <v>46266</v>
      </c>
      <c r="K1" s="4">
        <v>46296</v>
      </c>
      <c r="L1" s="4">
        <v>46327</v>
      </c>
      <c r="M1" s="4">
        <v>46357</v>
      </c>
      <c r="N1" s="1" t="s">
        <v>62</v>
      </c>
    </row>
    <row r="2" spans="1:17" x14ac:dyDescent="0.3">
      <c r="A2" s="3" t="s">
        <v>63</v>
      </c>
      <c r="B2" s="3">
        <v>0</v>
      </c>
      <c r="C2" s="3">
        <v>17520</v>
      </c>
      <c r="D2" s="3">
        <v>13140</v>
      </c>
      <c r="E2" s="3">
        <v>26280</v>
      </c>
      <c r="F2" s="3">
        <v>17520</v>
      </c>
      <c r="G2" s="3">
        <v>26280</v>
      </c>
      <c r="H2" s="3">
        <v>9240</v>
      </c>
      <c r="I2" s="3">
        <v>8760</v>
      </c>
      <c r="J2" s="3">
        <v>21900</v>
      </c>
      <c r="K2" s="3">
        <v>13140</v>
      </c>
      <c r="L2" s="3">
        <v>26280</v>
      </c>
      <c r="M2" s="3">
        <v>35960</v>
      </c>
      <c r="N2" s="3">
        <f>SUM(B2:M2)</f>
        <v>216020</v>
      </c>
    </row>
    <row r="3" spans="1:17" x14ac:dyDescent="0.3">
      <c r="A3" s="3" t="s">
        <v>64</v>
      </c>
      <c r="B3" s="3">
        <v>10000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f>SUM(B3:M3)</f>
        <v>10000</v>
      </c>
    </row>
    <row r="4" spans="1:17" x14ac:dyDescent="0.3">
      <c r="A4" s="3" t="s">
        <v>65</v>
      </c>
      <c r="B4" s="3">
        <f t="shared" ref="B4:M4" si="0">SUM(B2:B3)</f>
        <v>10000</v>
      </c>
      <c r="C4" s="3">
        <f t="shared" si="0"/>
        <v>17520</v>
      </c>
      <c r="D4" s="3">
        <f t="shared" si="0"/>
        <v>13140</v>
      </c>
      <c r="E4" s="3">
        <f t="shared" si="0"/>
        <v>26280</v>
      </c>
      <c r="F4" s="3">
        <f t="shared" si="0"/>
        <v>17520</v>
      </c>
      <c r="G4" s="3">
        <f t="shared" si="0"/>
        <v>26280</v>
      </c>
      <c r="H4" s="3">
        <f t="shared" si="0"/>
        <v>9240</v>
      </c>
      <c r="I4" s="3">
        <f t="shared" si="0"/>
        <v>8760</v>
      </c>
      <c r="J4" s="3">
        <f t="shared" si="0"/>
        <v>21900</v>
      </c>
      <c r="K4" s="3">
        <f t="shared" si="0"/>
        <v>13140</v>
      </c>
      <c r="L4" s="3">
        <f t="shared" si="0"/>
        <v>26280</v>
      </c>
      <c r="M4" s="3">
        <f t="shared" si="0"/>
        <v>35960</v>
      </c>
      <c r="N4" s="3">
        <f>SUM(B4:M4)</f>
        <v>226020</v>
      </c>
      <c r="Q4" s="7">
        <f>SUM(N18/N4)</f>
        <v>0.1966861339704451</v>
      </c>
    </row>
    <row r="6" spans="1:17" x14ac:dyDescent="0.3">
      <c r="A6" s="3" t="s">
        <v>66</v>
      </c>
      <c r="B6" s="3">
        <v>5000</v>
      </c>
      <c r="C6" s="3">
        <v>6500</v>
      </c>
      <c r="D6" s="3">
        <v>0</v>
      </c>
      <c r="E6" s="3">
        <v>11500</v>
      </c>
      <c r="F6" s="3">
        <v>0</v>
      </c>
      <c r="G6" s="3">
        <v>11500</v>
      </c>
      <c r="H6" s="3">
        <v>0</v>
      </c>
      <c r="I6" s="3">
        <v>0</v>
      </c>
      <c r="J6" s="3">
        <v>11500</v>
      </c>
      <c r="K6" s="3">
        <v>0</v>
      </c>
      <c r="L6" s="3">
        <v>11500</v>
      </c>
      <c r="M6" s="3">
        <v>0</v>
      </c>
      <c r="N6" s="3">
        <f t="shared" ref="N6:N13" si="1">SUM(B6:M6)</f>
        <v>57500</v>
      </c>
    </row>
    <row r="7" spans="1:17" x14ac:dyDescent="0.3">
      <c r="A7" s="3" t="s">
        <v>67</v>
      </c>
      <c r="B7" s="3">
        <v>1500</v>
      </c>
      <c r="C7" s="3">
        <v>2000</v>
      </c>
      <c r="D7" s="3">
        <v>2000</v>
      </c>
      <c r="E7" s="3">
        <v>2000</v>
      </c>
      <c r="F7" s="3">
        <v>2000</v>
      </c>
      <c r="G7" s="3">
        <v>2000</v>
      </c>
      <c r="H7" s="3">
        <v>2000</v>
      </c>
      <c r="I7" s="3">
        <v>2000</v>
      </c>
      <c r="J7" s="3">
        <v>2000</v>
      </c>
      <c r="K7" s="3">
        <v>2000</v>
      </c>
      <c r="L7" s="3">
        <v>2000</v>
      </c>
      <c r="M7" s="3">
        <v>2000</v>
      </c>
      <c r="N7" s="3">
        <f t="shared" si="1"/>
        <v>23500</v>
      </c>
    </row>
    <row r="8" spans="1:17" x14ac:dyDescent="0.3">
      <c r="A8" s="3" t="s">
        <v>68</v>
      </c>
      <c r="B8" s="3">
        <v>0</v>
      </c>
      <c r="C8" s="3">
        <v>2000</v>
      </c>
      <c r="D8" s="3">
        <v>2000</v>
      </c>
      <c r="E8" s="3">
        <v>2000</v>
      </c>
      <c r="F8" s="3">
        <v>2000</v>
      </c>
      <c r="G8" s="3">
        <v>2000</v>
      </c>
      <c r="H8" s="3">
        <v>2000</v>
      </c>
      <c r="I8" s="3">
        <v>2000</v>
      </c>
      <c r="J8" s="3">
        <v>2000</v>
      </c>
      <c r="K8" s="3">
        <v>2000</v>
      </c>
      <c r="L8" s="3">
        <v>2000</v>
      </c>
      <c r="M8" s="3">
        <v>2000</v>
      </c>
      <c r="N8" s="3">
        <f t="shared" si="1"/>
        <v>22000</v>
      </c>
    </row>
    <row r="9" spans="1:17" x14ac:dyDescent="0.3">
      <c r="A9" s="3" t="s">
        <v>69</v>
      </c>
      <c r="B9" s="3">
        <v>0</v>
      </c>
      <c r="C9" s="3">
        <v>0</v>
      </c>
      <c r="D9" s="3">
        <v>4000</v>
      </c>
      <c r="E9" s="3">
        <v>4000</v>
      </c>
      <c r="F9" s="3">
        <v>4000</v>
      </c>
      <c r="G9" s="3">
        <v>4000</v>
      </c>
      <c r="H9" s="3">
        <v>4000</v>
      </c>
      <c r="I9" s="3">
        <v>4000</v>
      </c>
      <c r="J9" s="3">
        <v>4000</v>
      </c>
      <c r="K9" s="3">
        <v>4000</v>
      </c>
      <c r="L9" s="3">
        <v>4000</v>
      </c>
      <c r="M9" s="3">
        <v>4000</v>
      </c>
      <c r="N9" s="3">
        <f t="shared" si="1"/>
        <v>40000</v>
      </c>
    </row>
    <row r="10" spans="1:17" x14ac:dyDescent="0.3">
      <c r="A10" s="3" t="s">
        <v>70</v>
      </c>
      <c r="B10" s="3">
        <v>0</v>
      </c>
      <c r="C10" s="3">
        <v>0</v>
      </c>
      <c r="D10" s="3">
        <v>500</v>
      </c>
      <c r="E10" s="3">
        <v>500</v>
      </c>
      <c r="F10" s="3">
        <v>500</v>
      </c>
      <c r="G10" s="3">
        <v>500</v>
      </c>
      <c r="H10" s="3">
        <v>500</v>
      </c>
      <c r="I10" s="3">
        <v>500</v>
      </c>
      <c r="J10" s="3">
        <v>500</v>
      </c>
      <c r="K10" s="3">
        <v>500</v>
      </c>
      <c r="L10" s="3">
        <v>500</v>
      </c>
      <c r="M10" s="3">
        <v>500</v>
      </c>
      <c r="N10" s="3">
        <f t="shared" si="1"/>
        <v>5000</v>
      </c>
    </row>
    <row r="11" spans="1:17" x14ac:dyDescent="0.3">
      <c r="A11" s="3" t="s">
        <v>71</v>
      </c>
      <c r="B11" s="3">
        <v>0</v>
      </c>
      <c r="C11" s="3">
        <v>450</v>
      </c>
      <c r="D11" s="3">
        <v>0</v>
      </c>
      <c r="E11" s="3">
        <v>450</v>
      </c>
      <c r="F11" s="3">
        <v>0</v>
      </c>
      <c r="G11" s="3">
        <v>450</v>
      </c>
      <c r="H11" s="3">
        <v>0</v>
      </c>
      <c r="I11" s="3">
        <v>0</v>
      </c>
      <c r="J11" s="3">
        <v>450</v>
      </c>
      <c r="K11" s="3">
        <v>0</v>
      </c>
      <c r="L11" s="3">
        <v>450</v>
      </c>
      <c r="M11" s="3">
        <v>0</v>
      </c>
      <c r="N11" s="3">
        <f t="shared" si="1"/>
        <v>2250</v>
      </c>
    </row>
    <row r="12" spans="1:17" x14ac:dyDescent="0.3">
      <c r="A12" s="3" t="s">
        <v>72</v>
      </c>
      <c r="B12" s="3">
        <v>0</v>
      </c>
      <c r="C12" s="3">
        <v>883</v>
      </c>
      <c r="D12" s="3">
        <v>883</v>
      </c>
      <c r="E12" s="3">
        <v>883</v>
      </c>
      <c r="F12" s="3">
        <v>883</v>
      </c>
      <c r="G12" s="3">
        <v>883</v>
      </c>
      <c r="H12" s="3">
        <v>883</v>
      </c>
      <c r="I12" s="3">
        <v>883</v>
      </c>
      <c r="J12" s="3">
        <v>883</v>
      </c>
      <c r="K12" s="3">
        <v>883</v>
      </c>
      <c r="L12" s="3">
        <v>883</v>
      </c>
      <c r="M12" s="3">
        <v>883</v>
      </c>
      <c r="N12" s="3">
        <f t="shared" si="1"/>
        <v>9713</v>
      </c>
    </row>
    <row r="13" spans="1:17" ht="28.8" customHeight="1" x14ac:dyDescent="0.3">
      <c r="A13" s="5" t="s">
        <v>73</v>
      </c>
      <c r="B13" s="3">
        <v>0</v>
      </c>
      <c r="C13" s="3">
        <f t="shared" ref="C13:M13" si="2">SUM(C4/10)</f>
        <v>1752</v>
      </c>
      <c r="D13" s="3">
        <f t="shared" si="2"/>
        <v>1314</v>
      </c>
      <c r="E13" s="3">
        <f t="shared" si="2"/>
        <v>2628</v>
      </c>
      <c r="F13" s="3">
        <f t="shared" si="2"/>
        <v>1752</v>
      </c>
      <c r="G13" s="3">
        <f t="shared" si="2"/>
        <v>2628</v>
      </c>
      <c r="H13" s="3">
        <f t="shared" si="2"/>
        <v>924</v>
      </c>
      <c r="I13" s="3">
        <f t="shared" si="2"/>
        <v>876</v>
      </c>
      <c r="J13" s="3">
        <f t="shared" si="2"/>
        <v>2190</v>
      </c>
      <c r="K13" s="3">
        <f t="shared" si="2"/>
        <v>1314</v>
      </c>
      <c r="L13" s="3">
        <f t="shared" si="2"/>
        <v>2628</v>
      </c>
      <c r="M13" s="3">
        <f t="shared" si="2"/>
        <v>3596</v>
      </c>
      <c r="N13" s="3">
        <f t="shared" si="1"/>
        <v>21602</v>
      </c>
    </row>
    <row r="14" spans="1:17" x14ac:dyDescent="0.3">
      <c r="A14" s="3" t="s">
        <v>74</v>
      </c>
      <c r="B14" s="3">
        <f t="shared" ref="B14:N14" si="3">SUM(B6:B13)</f>
        <v>6500</v>
      </c>
      <c r="C14" s="3">
        <f t="shared" si="3"/>
        <v>13585</v>
      </c>
      <c r="D14" s="3">
        <f t="shared" si="3"/>
        <v>10697</v>
      </c>
      <c r="E14" s="3">
        <f t="shared" si="3"/>
        <v>23961</v>
      </c>
      <c r="F14" s="3">
        <f t="shared" si="3"/>
        <v>11135</v>
      </c>
      <c r="G14" s="3">
        <f t="shared" si="3"/>
        <v>23961</v>
      </c>
      <c r="H14" s="3">
        <f t="shared" si="3"/>
        <v>10307</v>
      </c>
      <c r="I14" s="3">
        <f t="shared" si="3"/>
        <v>10259</v>
      </c>
      <c r="J14" s="3">
        <f t="shared" si="3"/>
        <v>23523</v>
      </c>
      <c r="K14" s="3">
        <f t="shared" si="3"/>
        <v>10697</v>
      </c>
      <c r="L14" s="3">
        <f t="shared" si="3"/>
        <v>23961</v>
      </c>
      <c r="M14" s="3">
        <f t="shared" si="3"/>
        <v>12979</v>
      </c>
      <c r="N14" s="3">
        <f t="shared" si="3"/>
        <v>181565</v>
      </c>
    </row>
    <row r="16" spans="1:17" x14ac:dyDescent="0.3">
      <c r="A16" s="3" t="s">
        <v>75</v>
      </c>
      <c r="B16" s="3">
        <f t="shared" ref="B16:M16" si="4">B4-B14</f>
        <v>3500</v>
      </c>
      <c r="C16" s="3">
        <f t="shared" si="4"/>
        <v>3935</v>
      </c>
      <c r="D16" s="3">
        <f t="shared" si="4"/>
        <v>2443</v>
      </c>
      <c r="E16" s="3">
        <f t="shared" si="4"/>
        <v>2319</v>
      </c>
      <c r="F16" s="3">
        <f t="shared" si="4"/>
        <v>6385</v>
      </c>
      <c r="G16" s="3">
        <f t="shared" si="4"/>
        <v>2319</v>
      </c>
      <c r="H16" s="3">
        <f t="shared" si="4"/>
        <v>-1067</v>
      </c>
      <c r="I16" s="3">
        <f t="shared" si="4"/>
        <v>-1499</v>
      </c>
      <c r="J16" s="3">
        <f t="shared" si="4"/>
        <v>-1623</v>
      </c>
      <c r="K16" s="3">
        <f t="shared" si="4"/>
        <v>2443</v>
      </c>
      <c r="L16" s="3">
        <f t="shared" si="4"/>
        <v>2319</v>
      </c>
      <c r="M16" s="3">
        <f t="shared" si="4"/>
        <v>22981</v>
      </c>
      <c r="N16" s="3">
        <f>SUM(B16:M16)</f>
        <v>44455</v>
      </c>
    </row>
    <row r="17" spans="1:14" x14ac:dyDescent="0.3">
      <c r="A17" s="3" t="s">
        <v>76</v>
      </c>
      <c r="B17" s="3">
        <v>0</v>
      </c>
      <c r="C17" s="3">
        <f t="shared" ref="C17:M17" si="5">B18</f>
        <v>3500</v>
      </c>
      <c r="D17" s="3">
        <f t="shared" si="5"/>
        <v>7435</v>
      </c>
      <c r="E17" s="3">
        <f t="shared" si="5"/>
        <v>9878</v>
      </c>
      <c r="F17" s="3">
        <f t="shared" si="5"/>
        <v>12197</v>
      </c>
      <c r="G17" s="3">
        <f t="shared" si="5"/>
        <v>18582</v>
      </c>
      <c r="H17" s="3">
        <f t="shared" si="5"/>
        <v>20901</v>
      </c>
      <c r="I17" s="3">
        <f t="shared" si="5"/>
        <v>19834</v>
      </c>
      <c r="J17" s="3">
        <f t="shared" si="5"/>
        <v>18335</v>
      </c>
      <c r="K17" s="3">
        <f t="shared" si="5"/>
        <v>16712</v>
      </c>
      <c r="L17" s="3">
        <f t="shared" si="5"/>
        <v>19155</v>
      </c>
      <c r="M17" s="3">
        <f t="shared" si="5"/>
        <v>21474</v>
      </c>
      <c r="N17" s="3">
        <f>M17</f>
        <v>21474</v>
      </c>
    </row>
    <row r="18" spans="1:14" x14ac:dyDescent="0.3">
      <c r="A18" s="3" t="s">
        <v>77</v>
      </c>
      <c r="B18" s="3">
        <f t="shared" ref="B18:M18" si="6">B17+B16</f>
        <v>3500</v>
      </c>
      <c r="C18" s="3">
        <f t="shared" si="6"/>
        <v>7435</v>
      </c>
      <c r="D18" s="3">
        <f t="shared" si="6"/>
        <v>9878</v>
      </c>
      <c r="E18" s="3">
        <f t="shared" si="6"/>
        <v>12197</v>
      </c>
      <c r="F18" s="3">
        <f t="shared" si="6"/>
        <v>18582</v>
      </c>
      <c r="G18" s="3">
        <f t="shared" si="6"/>
        <v>20901</v>
      </c>
      <c r="H18" s="3">
        <f t="shared" si="6"/>
        <v>19834</v>
      </c>
      <c r="I18" s="3">
        <f t="shared" si="6"/>
        <v>18335</v>
      </c>
      <c r="J18" s="3">
        <f t="shared" si="6"/>
        <v>16712</v>
      </c>
      <c r="K18" s="3">
        <f t="shared" si="6"/>
        <v>19155</v>
      </c>
      <c r="L18" s="3">
        <f t="shared" si="6"/>
        <v>21474</v>
      </c>
      <c r="M18" s="3">
        <f t="shared" si="6"/>
        <v>44455</v>
      </c>
      <c r="N18" s="3">
        <f>M18</f>
        <v>44455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tabSelected="1" workbookViewId="0">
      <selection activeCell="A5" sqref="A5"/>
    </sheetView>
  </sheetViews>
  <sheetFormatPr defaultRowHeight="14.4" x14ac:dyDescent="0.3"/>
  <cols>
    <col min="1" max="1" width="27.77734375" bestFit="1" customWidth="1"/>
    <col min="2" max="3" width="8.44140625" bestFit="1" customWidth="1"/>
    <col min="4" max="6" width="9.88671875" bestFit="1" customWidth="1"/>
  </cols>
  <sheetData>
    <row r="1" spans="1:9" x14ac:dyDescent="0.3">
      <c r="A1" s="2" t="s">
        <v>61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</row>
    <row r="2" spans="1:9" x14ac:dyDescent="0.3">
      <c r="A2" s="3" t="s">
        <v>83</v>
      </c>
      <c r="B2" s="6">
        <v>1000</v>
      </c>
      <c r="C2" s="6">
        <v>2500</v>
      </c>
      <c r="D2" s="6">
        <v>6500</v>
      </c>
      <c r="E2" s="6">
        <v>10000</v>
      </c>
      <c r="F2" s="6">
        <v>15000</v>
      </c>
    </row>
    <row r="3" spans="1:9" x14ac:dyDescent="0.3">
      <c r="A3" s="3" t="s">
        <v>84</v>
      </c>
      <c r="B3" s="6">
        <v>250</v>
      </c>
      <c r="C3" s="6">
        <v>300</v>
      </c>
      <c r="D3" s="6">
        <v>500</v>
      </c>
      <c r="E3" s="6">
        <v>500</v>
      </c>
      <c r="F3" s="6">
        <v>600</v>
      </c>
    </row>
    <row r="4" spans="1:9" x14ac:dyDescent="0.3">
      <c r="A4" s="3" t="s">
        <v>85</v>
      </c>
      <c r="B4" s="3">
        <f>'Year 1 Monthly (Scalability)'!N2</f>
        <v>216020</v>
      </c>
      <c r="C4" s="3">
        <v>645000</v>
      </c>
      <c r="D4" s="3">
        <v>2795000</v>
      </c>
      <c r="E4" s="3">
        <v>4300000</v>
      </c>
      <c r="F4" s="3">
        <v>7740000</v>
      </c>
    </row>
    <row r="5" spans="1:9" x14ac:dyDescent="0.3">
      <c r="A5" s="3" t="s">
        <v>86</v>
      </c>
      <c r="B5" s="3">
        <f>'Year 1 Monthly (Scalability)'!N6</f>
        <v>57500</v>
      </c>
      <c r="C5" s="3">
        <f>SUM(C4*0.266179)</f>
        <v>171685.45499999999</v>
      </c>
      <c r="D5" s="3">
        <f>SUM(D4*0.266179)</f>
        <v>743970.30500000005</v>
      </c>
      <c r="E5" s="3">
        <f>SUM(E4*0.266179)</f>
        <v>1144569.7</v>
      </c>
      <c r="F5" s="3">
        <f>SUM(F4*0.266179)</f>
        <v>2060225.46</v>
      </c>
    </row>
    <row r="6" spans="1:9" x14ac:dyDescent="0.3">
      <c r="A6" s="3" t="s">
        <v>87</v>
      </c>
      <c r="B6" s="3">
        <f>B4-B5</f>
        <v>158520</v>
      </c>
      <c r="C6" s="3">
        <f>SUM(C4-C5)</f>
        <v>473314.54500000004</v>
      </c>
      <c r="D6" s="3">
        <f>SUM(D4-D5)</f>
        <v>2051029.6949999998</v>
      </c>
      <c r="E6" s="3">
        <f>SUM(E4-E5)</f>
        <v>3155430.3</v>
      </c>
      <c r="F6" s="3">
        <f>SUM(F4-F5)</f>
        <v>5679774.54</v>
      </c>
    </row>
    <row r="7" spans="1:9" x14ac:dyDescent="0.3">
      <c r="A7" s="3" t="s">
        <v>88</v>
      </c>
      <c r="B7" s="3">
        <f>SUM('Year 1 Monthly (Scalability)'!N7:N13)</f>
        <v>124065</v>
      </c>
      <c r="C7" s="3">
        <v>150000</v>
      </c>
      <c r="D7" s="3">
        <v>250000</v>
      </c>
      <c r="E7" s="3">
        <v>40000</v>
      </c>
      <c r="F7" s="3">
        <v>600000</v>
      </c>
    </row>
    <row r="8" spans="1:9" x14ac:dyDescent="0.3">
      <c r="A8" s="3" t="s">
        <v>89</v>
      </c>
      <c r="B8" s="3">
        <v>0</v>
      </c>
      <c r="C8" s="3">
        <v>67992</v>
      </c>
      <c r="D8" s="3">
        <v>67992</v>
      </c>
      <c r="E8" s="3">
        <v>67992</v>
      </c>
      <c r="F8" s="3">
        <v>67992</v>
      </c>
      <c r="I8" s="10"/>
    </row>
    <row r="9" spans="1:9" x14ac:dyDescent="0.3">
      <c r="A9" s="3" t="s">
        <v>90</v>
      </c>
      <c r="B9" s="3">
        <f>B6-B7-B8</f>
        <v>34455</v>
      </c>
      <c r="C9" s="3">
        <f>C6-C7-C8</f>
        <v>255322.54500000004</v>
      </c>
      <c r="D9" s="3">
        <f>D6-D7-D8</f>
        <v>1733037.6949999998</v>
      </c>
      <c r="E9" s="3">
        <f>E6-E7-E8</f>
        <v>3047438.3</v>
      </c>
      <c r="F9" s="3">
        <f>F6-F7-F8</f>
        <v>5011782.54</v>
      </c>
    </row>
    <row r="10" spans="1:9" x14ac:dyDescent="0.3">
      <c r="A10" s="3" t="s">
        <v>91</v>
      </c>
      <c r="B10" s="3">
        <f>B9</f>
        <v>34455</v>
      </c>
      <c r="C10" s="3">
        <f>C9</f>
        <v>255322.54500000004</v>
      </c>
      <c r="D10" s="3">
        <f>D9</f>
        <v>1733037.6949999998</v>
      </c>
      <c r="E10" s="3">
        <f>E9</f>
        <v>3047438.3</v>
      </c>
      <c r="F10" s="3">
        <f>F9</f>
        <v>5011782.54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/>
  </sheetViews>
  <sheetFormatPr defaultRowHeight="14.4" x14ac:dyDescent="0.3"/>
  <cols>
    <col min="1" max="1" width="27" customWidth="1"/>
    <col min="2" max="2" width="17" customWidth="1"/>
    <col min="3" max="3" width="27" customWidth="1"/>
  </cols>
  <sheetData>
    <row r="1" spans="1:3" x14ac:dyDescent="0.3">
      <c r="A1" s="1" t="s">
        <v>1</v>
      </c>
      <c r="B1" s="1" t="s">
        <v>18</v>
      </c>
      <c r="C1" s="1" t="s">
        <v>3</v>
      </c>
    </row>
    <row r="2" spans="1:3" x14ac:dyDescent="0.3">
      <c r="A2" t="s">
        <v>92</v>
      </c>
      <c r="B2">
        <v>0</v>
      </c>
      <c r="C2" t="s">
        <v>93</v>
      </c>
    </row>
    <row r="3" spans="1:3" x14ac:dyDescent="0.3">
      <c r="A3" t="s">
        <v>94</v>
      </c>
      <c r="B3">
        <v>0</v>
      </c>
      <c r="C3" t="s">
        <v>58</v>
      </c>
    </row>
    <row r="4" spans="1:3" x14ac:dyDescent="0.3">
      <c r="A4" t="s">
        <v>95</v>
      </c>
      <c r="B4">
        <v>10000</v>
      </c>
      <c r="C4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Start-up Costs</vt:lpstr>
      <vt:lpstr>Operating Expenditure</vt:lpstr>
      <vt:lpstr>Cost of Goods Sold</vt:lpstr>
      <vt:lpstr>Signing Trip Costs</vt:lpstr>
      <vt:lpstr>Year 1 Monthly (Scalability)</vt:lpstr>
      <vt:lpstr>Projections (5 Years)</vt:lpstr>
      <vt:lpstr>Non-Operating Expenditure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 spiller</cp:lastModifiedBy>
  <dcterms:created xsi:type="dcterms:W3CDTF">2026-01-05T17:04:46Z</dcterms:created>
  <dcterms:modified xsi:type="dcterms:W3CDTF">2026-01-05T22:07:25Z</dcterms:modified>
</cp:coreProperties>
</file>